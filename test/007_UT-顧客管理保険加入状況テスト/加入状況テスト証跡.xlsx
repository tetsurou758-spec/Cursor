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ダンプ_顧客契約突合" sheetId="1" state="visible" r:id="rId1"/>
    <sheet name="UT-CUSTOMER-001画面証跡" sheetId="2" state="visible" r:id="rId2"/>
    <sheet name="UT-CUSTOMER-002画面証跡" sheetId="3" state="visible" r:id="rId3"/>
    <sheet name="UT-CUSTOMER-003画面証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1F4E79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27AE60"/>
      <sz val="11"/>
    </font>
    <font>
      <i val="1"/>
      <color rgb="007F8C8D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E4057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2" customHeight="1">
      <c r="A1" s="1" t="inlineStr">
        <is>
          <t>【集計サマリ】羽生○弦（グループA）顧客契約突合</t>
        </is>
      </c>
    </row>
    <row r="2">
      <c r="A2" s="2" t="inlineStr">
        <is>
          <t>種目別契約件数（COUNTIF）</t>
        </is>
      </c>
    </row>
    <row r="3">
      <c r="A3" s="3" t="inlineStr">
        <is>
          <t xml:space="preserve">  自動車</t>
        </is>
      </c>
      <c r="B3" s="4">
        <f>COUNTIF(F10:F9999,"自動車")</f>
        <v/>
      </c>
    </row>
    <row r="4">
      <c r="A4" s="3" t="inlineStr">
        <is>
          <t xml:space="preserve">  火災</t>
        </is>
      </c>
      <c r="B4" s="4">
        <f>COUNTIF(F10:F9999,"火災")</f>
        <v/>
      </c>
    </row>
    <row r="5">
      <c r="A5" s="3" t="inlineStr">
        <is>
          <t xml:space="preserve">  傷害</t>
        </is>
      </c>
      <c r="B5" s="4">
        <f>COUNTIF(F10:F9999,"傷害")</f>
        <v/>
      </c>
    </row>
    <row r="6">
      <c r="A6" s="3" t="inlineStr">
        <is>
          <t xml:space="preserve">  自賠責</t>
        </is>
      </c>
      <c r="B6" s="4">
        <f>COUNTIF(F10:F9999,"自賠責")</f>
        <v/>
      </c>
    </row>
    <row r="7">
      <c r="A7" s="3" t="inlineStr">
        <is>
          <t xml:space="preserve">  賠償責任</t>
        </is>
      </c>
      <c r="B7" s="4">
        <f>COUNTIF(F10:F9999,"賠償責任")</f>
        <v/>
      </c>
    </row>
    <row r="8">
      <c r="A8" s="3" t="inlineStr">
        <is>
          <t xml:space="preserve">  サイバー</t>
        </is>
      </c>
      <c r="B8" s="4">
        <f>COUNTIF(F10:F9999,"サイバー")</f>
        <v/>
      </c>
    </row>
    <row r="9" ht="20" customHeight="1">
      <c r="A9" s="5" t="inlineStr">
        <is>
          <t>customer_id</t>
        </is>
      </c>
      <c r="B9" s="5" t="inlineStr">
        <is>
          <t>last_name</t>
        </is>
      </c>
      <c r="C9" s="5" t="inlineStr">
        <is>
          <t>first_name</t>
        </is>
      </c>
      <c r="D9" s="5" t="inlineStr">
        <is>
          <t>group_code</t>
        </is>
      </c>
      <c r="E9" s="5" t="inlineStr">
        <is>
          <t>contract_no</t>
        </is>
      </c>
      <c r="F9" s="5" t="inlineStr">
        <is>
          <t>policy_type</t>
        </is>
      </c>
      <c r="G9" s="5" t="inlineStr">
        <is>
          <t>agency_code</t>
        </is>
      </c>
      <c r="H9" s="5" t="inlineStr">
        <is>
          <t>expiry_date</t>
        </is>
      </c>
      <c r="I9" s="5" t="inlineStr">
        <is>
          <t>annual_premium</t>
        </is>
      </c>
      <c r="J9" s="5" t="inlineStr">
        <is>
          <t>renewal_status</t>
        </is>
      </c>
    </row>
    <row r="10">
      <c r="A10" s="6" t="n">
        <v>1</v>
      </c>
      <c r="B10" s="6" t="inlineStr">
        <is>
          <t>羽生</t>
        </is>
      </c>
      <c r="C10" s="6" t="inlineStr">
        <is>
          <t>○弦</t>
        </is>
      </c>
      <c r="D10" s="6" t="inlineStr">
        <is>
          <t>A</t>
        </is>
      </c>
      <c r="E10" s="6" t="inlineStr">
        <is>
          <t>CUST-A002-0001-03</t>
        </is>
      </c>
      <c r="F10" s="6" t="inlineStr">
        <is>
          <t>火災</t>
        </is>
      </c>
      <c r="G10" s="6" t="inlineStr">
        <is>
          <t>A002</t>
        </is>
      </c>
      <c r="H10" s="6" t="inlineStr">
        <is>
          <t>2027-06-30</t>
        </is>
      </c>
      <c r="I10" s="6" t="n">
        <v>98000</v>
      </c>
      <c r="J10" s="6" t="inlineStr">
        <is>
          <t>未対応</t>
        </is>
      </c>
    </row>
    <row r="11">
      <c r="A11" s="7" t="n">
        <v>1</v>
      </c>
      <c r="B11" s="7" t="inlineStr">
        <is>
          <t>羽生</t>
        </is>
      </c>
      <c r="C11" s="7" t="inlineStr">
        <is>
          <t>○弦</t>
        </is>
      </c>
      <c r="D11" s="7" t="inlineStr">
        <is>
          <t>A</t>
        </is>
      </c>
      <c r="E11" s="7" t="inlineStr">
        <is>
          <t>CUST-A001-0001-01</t>
        </is>
      </c>
      <c r="F11" s="7" t="inlineStr">
        <is>
          <t>自動車</t>
        </is>
      </c>
      <c r="G11" s="7" t="inlineStr">
        <is>
          <t>A001</t>
        </is>
      </c>
      <c r="H11" s="7" t="inlineStr">
        <is>
          <t>2027-12-07</t>
        </is>
      </c>
      <c r="I11" s="7" t="n">
        <v>135000</v>
      </c>
      <c r="J11" s="7" t="inlineStr">
        <is>
          <t>未対応</t>
        </is>
      </c>
    </row>
    <row r="12">
      <c r="A12" s="6" t="n">
        <v>1</v>
      </c>
      <c r="B12" s="6" t="inlineStr">
        <is>
          <t>羽生</t>
        </is>
      </c>
      <c r="C12" s="6" t="inlineStr">
        <is>
          <t>○弦</t>
        </is>
      </c>
      <c r="D12" s="6" t="inlineStr">
        <is>
          <t>A</t>
        </is>
      </c>
      <c r="E12" s="6" t="inlineStr">
        <is>
          <t>CUST-A001-0001-02</t>
        </is>
      </c>
      <c r="F12" s="6" t="inlineStr">
        <is>
          <t>自賠責</t>
        </is>
      </c>
      <c r="G12" s="6" t="inlineStr">
        <is>
          <t>A001</t>
        </is>
      </c>
      <c r="H12" s="6" t="inlineStr">
        <is>
          <t>2027-12-07</t>
        </is>
      </c>
      <c r="I12" s="6" t="n">
        <v>19000</v>
      </c>
      <c r="J12" s="6" t="inlineStr">
        <is>
          <t>未対応</t>
        </is>
      </c>
    </row>
    <row r="13">
      <c r="A13" s="3" t="inlineStr">
        <is>
          <t xml:space="preserve">  火災</t>
        </is>
      </c>
      <c r="B13" s="4">
        <f>IF(COUNTIF(F10:F9999,"火災")&gt;0,"○","－")</f>
        <v/>
      </c>
    </row>
    <row r="14">
      <c r="A14" s="3" t="inlineStr">
        <is>
          <t xml:space="preserve">  傷害</t>
        </is>
      </c>
      <c r="B14" s="4">
        <f>IF(COUNTIF(F10:F9999,"傷害")&gt;0,"○","－")</f>
        <v/>
      </c>
    </row>
    <row r="15">
      <c r="A15" s="3" t="inlineStr">
        <is>
          <t xml:space="preserve">  自賠責</t>
        </is>
      </c>
      <c r="B15" s="4">
        <f>IF(COUNTIF(F10:F9999,"自賠責")&gt;0,"○","－")</f>
        <v/>
      </c>
    </row>
    <row r="16">
      <c r="A16" s="3" t="inlineStr">
        <is>
          <t xml:space="preserve">  賠償責任</t>
        </is>
      </c>
      <c r="B16" s="4">
        <f>IF(COUNTIF(F10:F9999,"賠償責任")&gt;0,"○","－")</f>
        <v/>
      </c>
    </row>
    <row r="17">
      <c r="A17" s="3" t="inlineStr">
        <is>
          <t xml:space="preserve">  サイバー</t>
        </is>
      </c>
      <c r="B17" s="4">
        <f>IF(COUNTIF(F10:F9999,"サイバー")&gt;0,"○","－")</f>
        <v/>
      </c>
    </row>
    <row r="18">
      <c r="A18" s="3" t="inlineStr">
        <is>
          <t xml:space="preserve">  所得補償</t>
        </is>
      </c>
      <c r="B18" s="4">
        <f>IF(COUNTIF(F10:F9999,"所得補償")&gt;0,"○","－")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1" t="inlineStr">
        <is>
          <t>【画面証跡】UT-CUSTOMER-001：羽生○弦 保険加入状況○/－表示確認</t>
        </is>
      </c>
    </row>
    <row r="2">
      <c r="A2" s="2" t="inlineStr">
        <is>
          <t>テストID</t>
        </is>
      </c>
      <c r="B2" s="8" t="inlineStr">
        <is>
          <t>UT-CUSTOMER-001</t>
        </is>
      </c>
    </row>
    <row r="3" ht="65" customHeight="1">
      <c r="A3" s="2" t="inlineStr">
        <is>
          <t>確認内容</t>
        </is>
      </c>
      <c r="B3" s="9" t="inlineStr">
        <is>
          <t>A001/admin/password123でログイン後、顧客管理画面で「羽生」を検索
保険加入状況列の○/－表示をスクリーンショット
期待値：車○・火○・傷－・自賠○・賠責－・サイバー－・所得－</t>
        </is>
      </c>
    </row>
    <row r="4"/>
    <row r="5">
      <c r="A5" s="2" t="inlineStr">
        <is>
          <t>テスト結果</t>
        </is>
      </c>
      <c r="B5" s="10" t="inlineStr">
        <is>
          <t>○　（正常確認）</t>
        </is>
      </c>
    </row>
    <row r="7">
      <c r="A7" s="2" t="inlineStr">
        <is>
          <t>スクリーンショット</t>
        </is>
      </c>
    </row>
    <row r="8" ht="200" customHeight="1">
      <c r="A8" s="11" t="inlineStr">
        <is>
          <t>※ スクリーンショットをここに貼付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3">
    <mergeCell ref="A1:D1"/>
    <mergeCell ref="A8:D25"/>
    <mergeCell ref="B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1" t="inlineStr">
        <is>
          <t>【画面証跡】UT-CUSTOMER-002：羽生○弦 詳細展開・保有契約一覧確認</t>
        </is>
      </c>
    </row>
    <row r="2">
      <c r="A2" s="2" t="inlineStr">
        <is>
          <t>テストID</t>
        </is>
      </c>
      <c r="B2" s="8" t="inlineStr">
        <is>
          <t>UT-CUSTOMER-002</t>
        </is>
      </c>
    </row>
    <row r="3" ht="65" customHeight="1">
      <c r="A3" s="2" t="inlineStr">
        <is>
          <t>確認内容</t>
        </is>
      </c>
      <c r="B3" s="9" t="inlineStr">
        <is>
          <t>UT-CUSTOMER-001と同じ画面で+ボタンを開いた状態の詳細・保有契約一覧をスクリーンショット
期待値：自動車（A001）・自賠責（A001）・火災（A002）の3契約が一覧表示</t>
        </is>
      </c>
    </row>
    <row r="4"/>
    <row r="5">
      <c r="A5" s="2" t="inlineStr">
        <is>
          <t>テスト結果</t>
        </is>
      </c>
      <c r="B5" s="10" t="inlineStr">
        <is>
          <t>○　（正常確認）</t>
        </is>
      </c>
    </row>
    <row r="7">
      <c r="A7" s="2" t="inlineStr">
        <is>
          <t>スクリーンショット</t>
        </is>
      </c>
    </row>
    <row r="8" ht="200" customHeight="1">
      <c r="A8" s="11" t="inlineStr">
        <is>
          <t>※ スクリーンショットをここに貼付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3">
    <mergeCell ref="A1:D1"/>
    <mergeCell ref="A8:D25"/>
    <mergeCell ref="B3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1" t="inlineStr">
        <is>
          <t>【画面証跡】UT-CUSTOMER-003：満期管理→顧客管理画面遷移確認</t>
        </is>
      </c>
    </row>
    <row r="2">
      <c r="A2" s="2" t="inlineStr">
        <is>
          <t>テストID</t>
        </is>
      </c>
      <c r="B2" s="8" t="inlineStr">
        <is>
          <t>UT-CUSTOMER-003</t>
        </is>
      </c>
    </row>
    <row r="3" ht="65" customHeight="1">
      <c r="A3" s="2" t="inlineStr">
        <is>
          <t>確認内容</t>
        </is>
      </c>
      <c r="B3" s="9" t="inlineStr">
        <is>
          <t>満期管理画面で鈴木○郎の顧客名リンクをクリックし
遷移後の顧客管理画面（1件表示・展開済み）をスクリーンショット
URLバーにcustomer_id・expand=trueが含まれることを確認</t>
        </is>
      </c>
    </row>
    <row r="4"/>
    <row r="5">
      <c r="A5" s="2" t="inlineStr">
        <is>
          <t>テスト結果</t>
        </is>
      </c>
      <c r="B5" s="10" t="inlineStr">
        <is>
          <t>○　（正常確認）</t>
        </is>
      </c>
    </row>
    <row r="7">
      <c r="A7" s="2" t="inlineStr">
        <is>
          <t>スクリーンショット</t>
        </is>
      </c>
    </row>
    <row r="8" ht="200" customHeight="1">
      <c r="A8" s="11" t="inlineStr">
        <is>
          <t>※ スクリーンショットをここに貼付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3">
    <mergeCell ref="A1:D1"/>
    <mergeCell ref="A8:D25"/>
    <mergeCell ref="B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2026-05-31T10:29:40Z</dcterms:created>
  <dcterms:modified xsi:type="dcterms:W3CDTF">2026-05-31T10:29:40Z</dcterms:modified>
</cp:coreProperties>
</file>